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za4\Downloads\"/>
    </mc:Choice>
  </mc:AlternateContent>
  <xr:revisionPtr revIDLastSave="0" documentId="8_{7D94ECF8-1DA0-4CC9-B3C2-CF19D68A1B92}" xr6:coauthVersionLast="47" xr6:coauthVersionMax="47" xr10:uidLastSave="{00000000-0000-0000-0000-000000000000}"/>
  <bookViews>
    <workbookView xWindow="-110" yWindow="-110" windowWidth="25820" windowHeight="15500" xr2:uid="{DFB3E09E-7AA2-456E-B801-6B102BE5C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0" i="1" l="1"/>
  <c r="G70" i="1"/>
  <c r="C70" i="1"/>
  <c r="B70" i="1"/>
  <c r="D39" i="1"/>
  <c r="K39" i="1" s="1"/>
  <c r="C39" i="1"/>
  <c r="J39" i="1" s="1"/>
  <c r="B39" i="1"/>
  <c r="I39" i="1" s="1"/>
  <c r="C38" i="1"/>
  <c r="J38" i="1" s="1"/>
  <c r="B38" i="1"/>
  <c r="I38" i="1" s="1"/>
  <c r="F35" i="1"/>
  <c r="M35" i="1" s="1"/>
  <c r="C29" i="1"/>
  <c r="C28" i="1"/>
  <c r="C27" i="1"/>
  <c r="D26" i="1"/>
  <c r="E26" i="1" s="1"/>
  <c r="F26" i="1" s="1"/>
  <c r="C26" i="1"/>
  <c r="E35" i="1" l="1"/>
  <c r="L35" i="1" s="1"/>
  <c r="C37" i="1"/>
  <c r="J37" i="1" s="1"/>
  <c r="F39" i="1"/>
  <c r="M39" i="1" s="1"/>
  <c r="D38" i="1"/>
  <c r="K38" i="1" s="1"/>
  <c r="E39" i="1"/>
  <c r="L39" i="1" s="1"/>
  <c r="F36" i="1"/>
  <c r="M36" i="1" s="1"/>
  <c r="D35" i="1"/>
  <c r="K35" i="1" s="1"/>
  <c r="B37" i="1"/>
  <c r="I37" i="1" s="1"/>
  <c r="E36" i="1"/>
  <c r="L36" i="1" s="1"/>
  <c r="C35" i="1"/>
  <c r="J35" i="1" s="1"/>
  <c r="F37" i="1"/>
  <c r="M37" i="1" s="1"/>
  <c r="D36" i="1"/>
  <c r="K36" i="1" s="1"/>
  <c r="B35" i="1"/>
  <c r="I35" i="1" s="1"/>
  <c r="E37" i="1"/>
  <c r="L37" i="1" s="1"/>
  <c r="C36" i="1"/>
  <c r="J36" i="1" s="1"/>
  <c r="F38" i="1"/>
  <c r="M38" i="1" s="1"/>
  <c r="D37" i="1"/>
  <c r="K37" i="1" s="1"/>
  <c r="B36" i="1"/>
  <c r="I36" i="1" s="1"/>
  <c r="E38" i="1"/>
  <c r="L38" i="1" s="1"/>
  <c r="H26" i="1"/>
  <c r="I26" i="1" s="1"/>
  <c r="D27" i="1" l="1"/>
  <c r="E27" i="1" s="1"/>
  <c r="F27" i="1" s="1"/>
  <c r="E44" i="1" l="1"/>
  <c r="L44" i="1" s="1"/>
  <c r="C43" i="1"/>
  <c r="J43" i="1" s="1"/>
  <c r="E47" i="1"/>
  <c r="L47" i="1" s="1"/>
  <c r="D47" i="1"/>
  <c r="K47" i="1" s="1"/>
  <c r="B46" i="1"/>
  <c r="I46" i="1" s="1"/>
  <c r="F45" i="1"/>
  <c r="M45" i="1" s="1"/>
  <c r="D44" i="1"/>
  <c r="K44" i="1" s="1"/>
  <c r="B43" i="1"/>
  <c r="I43" i="1" s="1"/>
  <c r="E45" i="1"/>
  <c r="L45" i="1" s="1"/>
  <c r="C44" i="1"/>
  <c r="J44" i="1" s="1"/>
  <c r="F46" i="1"/>
  <c r="M46" i="1" s="1"/>
  <c r="D45" i="1"/>
  <c r="K45" i="1" s="1"/>
  <c r="B44" i="1"/>
  <c r="I44" i="1" s="1"/>
  <c r="E46" i="1"/>
  <c r="L46" i="1" s="1"/>
  <c r="C45" i="1"/>
  <c r="J45" i="1" s="1"/>
  <c r="F47" i="1"/>
  <c r="M47" i="1" s="1"/>
  <c r="D46" i="1"/>
  <c r="K46" i="1" s="1"/>
  <c r="B45" i="1"/>
  <c r="I45" i="1" s="1"/>
  <c r="H27" i="1"/>
  <c r="I27" i="1" s="1"/>
  <c r="C46" i="1"/>
  <c r="J46" i="1" s="1"/>
  <c r="E43" i="1"/>
  <c r="L43" i="1" s="1"/>
  <c r="C47" i="1"/>
  <c r="J47" i="1" s="1"/>
  <c r="B47" i="1"/>
  <c r="I47" i="1" s="1"/>
  <c r="F44" i="1"/>
  <c r="M44" i="1" s="1"/>
  <c r="F43" i="1"/>
  <c r="M43" i="1" s="1"/>
  <c r="D43" i="1"/>
  <c r="K43" i="1" s="1"/>
  <c r="D28" i="1" l="1"/>
  <c r="E28" i="1" s="1"/>
  <c r="F28" i="1" s="1"/>
  <c r="H68" i="1"/>
  <c r="H69" i="1" s="1"/>
  <c r="H71" i="1" s="1"/>
  <c r="G68" i="1"/>
  <c r="G69" i="1" s="1"/>
  <c r="G71" i="1" s="1"/>
  <c r="E53" i="1" l="1"/>
  <c r="L53" i="1" s="1"/>
  <c r="C52" i="1"/>
  <c r="J52" i="1" s="1"/>
  <c r="B55" i="1"/>
  <c r="I55" i="1" s="1"/>
  <c r="F51" i="1"/>
  <c r="M51" i="1" s="1"/>
  <c r="F54" i="1"/>
  <c r="M54" i="1" s="1"/>
  <c r="D53" i="1"/>
  <c r="K53" i="1" s="1"/>
  <c r="B52" i="1"/>
  <c r="I52" i="1" s="1"/>
  <c r="E54" i="1"/>
  <c r="L54" i="1" s="1"/>
  <c r="C53" i="1"/>
  <c r="J53" i="1" s="1"/>
  <c r="F55" i="1"/>
  <c r="M55" i="1" s="1"/>
  <c r="D54" i="1"/>
  <c r="K54" i="1" s="1"/>
  <c r="B53" i="1"/>
  <c r="I53" i="1" s="1"/>
  <c r="E55" i="1"/>
  <c r="L55" i="1" s="1"/>
  <c r="C54" i="1"/>
  <c r="J54" i="1" s="1"/>
  <c r="D55" i="1"/>
  <c r="K55" i="1" s="1"/>
  <c r="B54" i="1"/>
  <c r="I54" i="1" s="1"/>
  <c r="C55" i="1"/>
  <c r="J55" i="1" s="1"/>
  <c r="F53" i="1"/>
  <c r="M53" i="1" s="1"/>
  <c r="H28" i="1"/>
  <c r="I28" i="1" s="1"/>
  <c r="F52" i="1"/>
  <c r="M52" i="1" s="1"/>
  <c r="E52" i="1"/>
  <c r="L52" i="1" s="1"/>
  <c r="D52" i="1"/>
  <c r="K52" i="1" s="1"/>
  <c r="B51" i="1"/>
  <c r="I51" i="1" s="1"/>
  <c r="E51" i="1"/>
  <c r="L51" i="1" s="1"/>
  <c r="D51" i="1"/>
  <c r="K51" i="1" s="1"/>
  <c r="C51" i="1"/>
  <c r="J51" i="1" s="1"/>
  <c r="D29" i="1" l="1"/>
  <c r="E29" i="1" s="1"/>
  <c r="F29" i="1" s="1"/>
  <c r="E62" i="1" l="1"/>
  <c r="L62" i="1" s="1"/>
  <c r="C61" i="1"/>
  <c r="J61" i="1" s="1"/>
  <c r="F60" i="1"/>
  <c r="M60" i="1" s="1"/>
  <c r="D59" i="1"/>
  <c r="K59" i="1" s="1"/>
  <c r="F63" i="1"/>
  <c r="M63" i="1" s="1"/>
  <c r="D62" i="1"/>
  <c r="K62" i="1" s="1"/>
  <c r="B61" i="1"/>
  <c r="I61" i="1" s="1"/>
  <c r="E63" i="1"/>
  <c r="L63" i="1" s="1"/>
  <c r="C62" i="1"/>
  <c r="J62" i="1" s="1"/>
  <c r="D63" i="1"/>
  <c r="K63" i="1" s="1"/>
  <c r="B62" i="1"/>
  <c r="I62" i="1" s="1"/>
  <c r="C63" i="1"/>
  <c r="J63" i="1" s="1"/>
  <c r="B63" i="1"/>
  <c r="I63" i="1" s="1"/>
  <c r="F59" i="1"/>
  <c r="M59" i="1" s="1"/>
  <c r="H29" i="1"/>
  <c r="I29" i="1" s="1"/>
  <c r="E59" i="1"/>
  <c r="L59" i="1" s="1"/>
  <c r="E60" i="1"/>
  <c r="L60" i="1" s="1"/>
  <c r="C59" i="1"/>
  <c r="J59" i="1" s="1"/>
  <c r="D61" i="1"/>
  <c r="K61" i="1" s="1"/>
  <c r="D60" i="1"/>
  <c r="K60" i="1" s="1"/>
  <c r="C60" i="1"/>
  <c r="J60" i="1" s="1"/>
  <c r="B60" i="1"/>
  <c r="I60" i="1" s="1"/>
  <c r="F62" i="1"/>
  <c r="M62" i="1" s="1"/>
  <c r="B59" i="1"/>
  <c r="I59" i="1" s="1"/>
  <c r="F61" i="1"/>
  <c r="M61" i="1" s="1"/>
  <c r="E61" i="1"/>
  <c r="L61" i="1" s="1"/>
  <c r="C68" i="1" l="1"/>
  <c r="C69" i="1" s="1"/>
  <c r="C71" i="1" s="1"/>
  <c r="B68" i="1"/>
  <c r="B69" i="1" s="1"/>
  <c r="B71" i="1" s="1"/>
</calcChain>
</file>

<file path=xl/sharedStrings.xml><?xml version="1.0" encoding="utf-8"?>
<sst xmlns="http://schemas.openxmlformats.org/spreadsheetml/2006/main" count="166" uniqueCount="45">
  <si>
    <t>1. Input</t>
  </si>
  <si>
    <t>Pola</t>
  </si>
  <si>
    <t>Kolom 1</t>
  </si>
  <si>
    <t>Kolom 2</t>
  </si>
  <si>
    <t>Kolom 3</t>
  </si>
  <si>
    <t>Kolom 4</t>
  </si>
  <si>
    <t>Kolom 5</t>
  </si>
  <si>
    <t>Baris 1</t>
  </si>
  <si>
    <t>Baris 2</t>
  </si>
  <si>
    <t>Baris 3</t>
  </si>
  <si>
    <t>Baris 4</t>
  </si>
  <si>
    <t>Baris 5</t>
  </si>
  <si>
    <t>Bias</t>
  </si>
  <si>
    <t>Target</t>
  </si>
  <si>
    <t xml:space="preserve">Parameter dan bobot awal </t>
  </si>
  <si>
    <t>learning rate</t>
  </si>
  <si>
    <t>threshold</t>
  </si>
  <si>
    <t>Bobot awal (w_0)</t>
  </si>
  <si>
    <t>Tabel perhitungan</t>
  </si>
  <si>
    <t>Epoch</t>
  </si>
  <si>
    <t>t</t>
  </si>
  <si>
    <t>net</t>
  </si>
  <si>
    <t>f(net)</t>
  </si>
  <si>
    <t>t-y</t>
  </si>
  <si>
    <t>biasa lama</t>
  </si>
  <si>
    <t>bias baru</t>
  </si>
  <si>
    <t>Inisialisasi</t>
  </si>
  <si>
    <t>Epoch 1</t>
  </si>
  <si>
    <t>X</t>
  </si>
  <si>
    <t>O</t>
  </si>
  <si>
    <t>Epoch 2</t>
  </si>
  <si>
    <t>Epoch 1 pola X</t>
  </si>
  <si>
    <t>Δw = α × (t − y) × x</t>
  </si>
  <si>
    <t>w baru = w lama + Δw</t>
  </si>
  <si>
    <t>Epoch 1 Pola O</t>
  </si>
  <si>
    <t>Epoch 2 pola X</t>
  </si>
  <si>
    <t>Epoch 2 Pola O</t>
  </si>
  <si>
    <t>]</t>
  </si>
  <si>
    <t>Pengujian epoch 2</t>
  </si>
  <si>
    <t>Pola X</t>
  </si>
  <si>
    <t>Pola O</t>
  </si>
  <si>
    <t>Pengujian epoch 1</t>
  </si>
  <si>
    <t>Tercapai?</t>
  </si>
  <si>
    <t>Dari hasil pelatihan, Adaline berhasil mengenali pola X dan O. Setelah epoch 1 dan epoch 2, pola X keluarannya +1 dan pola O keluarannya -1, sama dikedua epoch (tercapai). Di epoch 2, net pola X = 3,15 dan net pola O = -4,17 sedangkan epoch satu 1,64 dan -0.04, jadi kedua pola bisa dibedakan dengan jelas.</t>
  </si>
  <si>
    <t>Andara Salbriya Utami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</si>
</sst>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rgb="FF37415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4E8EE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5" xfId="0" applyFont="1" applyBorder="1"/>
    <xf numFmtId="0" fontId="1" fillId="3" borderId="1" xfId="0" applyFont="1" applyFill="1" applyBorder="1"/>
    <xf numFmtId="0" fontId="1" fillId="3" borderId="4" xfId="0" applyFont="1" applyFill="1" applyBorder="1"/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6" xfId="0" applyFont="1" applyBorder="1"/>
    <xf numFmtId="0" fontId="1" fillId="3" borderId="6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F6342-CD21-4AFB-8CB3-92BF73AFA5A6}">
  <dimension ref="A1:M76"/>
  <sheetViews>
    <sheetView tabSelected="1" topLeftCell="A47" workbookViewId="0">
      <selection activeCell="K72" sqref="K72"/>
    </sheetView>
  </sheetViews>
  <sheetFormatPr defaultRowHeight="14.5" x14ac:dyDescent="0.35"/>
  <cols>
    <col min="1" max="1" width="23.26953125" style="2" customWidth="1"/>
    <col min="2" max="5" width="8.7265625" style="2"/>
    <col min="6" max="6" width="18.08984375" style="2" customWidth="1"/>
    <col min="7" max="7" width="8.7265625" style="2"/>
    <col min="8" max="8" width="9" style="2" customWidth="1"/>
    <col min="9" max="9" width="8.7265625" style="2"/>
    <col min="10" max="10" width="11.81640625" style="2" bestFit="1" customWidth="1"/>
    <col min="11" max="16384" width="8.7265625" style="2"/>
  </cols>
  <sheetData>
    <row r="1" spans="1:13" x14ac:dyDescent="0.35">
      <c r="A1" s="1" t="s">
        <v>0</v>
      </c>
    </row>
    <row r="2" spans="1:13" x14ac:dyDescent="0.35">
      <c r="A2" s="3"/>
      <c r="B2" s="4" t="s">
        <v>1</v>
      </c>
      <c r="C2" s="5"/>
      <c r="D2" s="5"/>
      <c r="E2" s="5"/>
      <c r="F2" s="6"/>
      <c r="H2" s="7"/>
      <c r="I2" s="4" t="s">
        <v>1</v>
      </c>
      <c r="J2" s="5"/>
      <c r="K2" s="5"/>
      <c r="L2" s="5"/>
      <c r="M2" s="6"/>
    </row>
    <row r="3" spans="1:13" x14ac:dyDescent="0.35">
      <c r="A3" s="3"/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H3" s="7"/>
      <c r="I3" s="9" t="s">
        <v>2</v>
      </c>
      <c r="J3" s="8" t="s">
        <v>3</v>
      </c>
      <c r="K3" s="8" t="s">
        <v>4</v>
      </c>
      <c r="L3" s="8" t="s">
        <v>5</v>
      </c>
      <c r="M3" s="8" t="s">
        <v>6</v>
      </c>
    </row>
    <row r="4" spans="1:13" x14ac:dyDescent="0.35">
      <c r="A4" s="8" t="s">
        <v>7</v>
      </c>
      <c r="B4" s="10">
        <v>1</v>
      </c>
      <c r="C4" s="10">
        <v>-1</v>
      </c>
      <c r="D4" s="10">
        <v>-1</v>
      </c>
      <c r="E4" s="10">
        <v>-1</v>
      </c>
      <c r="F4" s="10">
        <v>1</v>
      </c>
      <c r="H4" s="10" t="s">
        <v>7</v>
      </c>
      <c r="I4" s="10">
        <v>-1</v>
      </c>
      <c r="J4" s="10">
        <v>1</v>
      </c>
      <c r="K4" s="10">
        <v>1</v>
      </c>
      <c r="L4" s="10">
        <v>1</v>
      </c>
      <c r="M4" s="10">
        <v>-1</v>
      </c>
    </row>
    <row r="5" spans="1:13" x14ac:dyDescent="0.35">
      <c r="A5" s="8" t="s">
        <v>8</v>
      </c>
      <c r="B5" s="10">
        <v>-1</v>
      </c>
      <c r="C5" s="10">
        <v>1</v>
      </c>
      <c r="D5" s="10">
        <v>-1</v>
      </c>
      <c r="E5" s="10">
        <v>1</v>
      </c>
      <c r="F5" s="10">
        <v>-1</v>
      </c>
      <c r="H5" s="10" t="s">
        <v>8</v>
      </c>
      <c r="I5" s="10">
        <v>1</v>
      </c>
      <c r="J5" s="10">
        <v>-1</v>
      </c>
      <c r="K5" s="10">
        <v>-1</v>
      </c>
      <c r="L5" s="10">
        <v>-1</v>
      </c>
      <c r="M5" s="10">
        <v>1</v>
      </c>
    </row>
    <row r="6" spans="1:13" x14ac:dyDescent="0.35">
      <c r="A6" s="8" t="s">
        <v>9</v>
      </c>
      <c r="B6" s="10">
        <v>-1</v>
      </c>
      <c r="C6" s="10">
        <v>-1</v>
      </c>
      <c r="D6" s="10">
        <v>1</v>
      </c>
      <c r="E6" s="10">
        <v>-1</v>
      </c>
      <c r="F6" s="10">
        <v>-1</v>
      </c>
      <c r="H6" s="10" t="s">
        <v>9</v>
      </c>
      <c r="I6" s="10">
        <v>1</v>
      </c>
      <c r="J6" s="10">
        <v>-1</v>
      </c>
      <c r="K6" s="10">
        <v>-1</v>
      </c>
      <c r="L6" s="10">
        <v>-1</v>
      </c>
      <c r="M6" s="10">
        <v>1</v>
      </c>
    </row>
    <row r="7" spans="1:13" x14ac:dyDescent="0.35">
      <c r="A7" s="8" t="s">
        <v>10</v>
      </c>
      <c r="B7" s="10">
        <v>-1</v>
      </c>
      <c r="C7" s="10">
        <v>1</v>
      </c>
      <c r="D7" s="10">
        <v>-1</v>
      </c>
      <c r="E7" s="10">
        <v>1</v>
      </c>
      <c r="F7" s="10">
        <v>-1</v>
      </c>
      <c r="H7" s="10" t="s">
        <v>10</v>
      </c>
      <c r="I7" s="10">
        <v>1</v>
      </c>
      <c r="J7" s="10">
        <v>-1</v>
      </c>
      <c r="K7" s="10">
        <v>-1</v>
      </c>
      <c r="L7" s="10">
        <v>-1</v>
      </c>
      <c r="M7" s="10">
        <v>1</v>
      </c>
    </row>
    <row r="8" spans="1:13" x14ac:dyDescent="0.35">
      <c r="A8" s="8" t="s">
        <v>11</v>
      </c>
      <c r="B8" s="10">
        <v>1</v>
      </c>
      <c r="C8" s="10">
        <v>-1</v>
      </c>
      <c r="D8" s="10">
        <v>-1</v>
      </c>
      <c r="E8" s="10">
        <v>-1</v>
      </c>
      <c r="F8" s="10">
        <v>1</v>
      </c>
      <c r="H8" s="10" t="s">
        <v>11</v>
      </c>
      <c r="I8" s="10">
        <v>-1</v>
      </c>
      <c r="J8" s="10">
        <v>1</v>
      </c>
      <c r="K8" s="10">
        <v>1</v>
      </c>
      <c r="L8" s="10">
        <v>1</v>
      </c>
      <c r="M8" s="10">
        <v>-1</v>
      </c>
    </row>
    <row r="9" spans="1:13" x14ac:dyDescent="0.35">
      <c r="A9" s="8" t="s">
        <v>12</v>
      </c>
      <c r="B9" s="10">
        <v>0</v>
      </c>
      <c r="C9" s="10"/>
      <c r="D9" s="10"/>
      <c r="E9" s="10"/>
      <c r="F9" s="10"/>
      <c r="H9" s="10" t="s">
        <v>12</v>
      </c>
      <c r="I9" s="10">
        <v>0</v>
      </c>
      <c r="J9" s="10"/>
      <c r="K9" s="10"/>
      <c r="L9" s="10"/>
      <c r="M9" s="10"/>
    </row>
    <row r="10" spans="1:13" x14ac:dyDescent="0.35">
      <c r="A10" s="8" t="s">
        <v>13</v>
      </c>
      <c r="B10" s="10">
        <v>1</v>
      </c>
      <c r="C10" s="10"/>
      <c r="D10" s="10"/>
      <c r="E10" s="10"/>
      <c r="F10" s="10"/>
      <c r="H10" s="10" t="s">
        <v>13</v>
      </c>
      <c r="I10" s="10">
        <v>-1</v>
      </c>
      <c r="J10" s="10"/>
      <c r="K10" s="10"/>
      <c r="L10" s="10"/>
      <c r="M10" s="10"/>
    </row>
    <row r="12" spans="1:13" x14ac:dyDescent="0.35">
      <c r="A12" s="11" t="s">
        <v>14</v>
      </c>
      <c r="B12" s="12"/>
    </row>
    <row r="13" spans="1:13" x14ac:dyDescent="0.35">
      <c r="A13" s="8" t="s">
        <v>15</v>
      </c>
      <c r="B13" s="10">
        <v>0.1</v>
      </c>
    </row>
    <row r="14" spans="1:13" x14ac:dyDescent="0.35">
      <c r="A14" s="8" t="s">
        <v>16</v>
      </c>
      <c r="B14" s="13">
        <v>0</v>
      </c>
    </row>
    <row r="15" spans="1:13" x14ac:dyDescent="0.35">
      <c r="B15" s="4" t="s">
        <v>17</v>
      </c>
      <c r="C15" s="5"/>
      <c r="D15" s="5"/>
      <c r="E15" s="5"/>
      <c r="F15" s="6"/>
    </row>
    <row r="16" spans="1:13" x14ac:dyDescent="0.35">
      <c r="B16" s="14" t="s">
        <v>2</v>
      </c>
      <c r="C16" s="14" t="s">
        <v>3</v>
      </c>
      <c r="D16" s="14" t="s">
        <v>4</v>
      </c>
      <c r="E16" s="14" t="s">
        <v>5</v>
      </c>
      <c r="F16" s="14" t="s">
        <v>6</v>
      </c>
    </row>
    <row r="17" spans="1:9" x14ac:dyDescent="0.35">
      <c r="A17" s="8" t="s">
        <v>7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</row>
    <row r="18" spans="1:9" x14ac:dyDescent="0.35">
      <c r="A18" s="8" t="s">
        <v>8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</row>
    <row r="19" spans="1:9" x14ac:dyDescent="0.35">
      <c r="A19" s="8" t="s">
        <v>9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</row>
    <row r="20" spans="1:9" x14ac:dyDescent="0.35">
      <c r="A20" s="8" t="s">
        <v>10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</row>
    <row r="21" spans="1:9" x14ac:dyDescent="0.35">
      <c r="A21" s="8" t="s">
        <v>11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</row>
    <row r="23" spans="1:9" x14ac:dyDescent="0.35">
      <c r="A23" s="1" t="s">
        <v>18</v>
      </c>
    </row>
    <row r="24" spans="1:9" x14ac:dyDescent="0.35">
      <c r="A24" s="8" t="s">
        <v>19</v>
      </c>
      <c r="B24" s="8" t="s">
        <v>1</v>
      </c>
      <c r="C24" s="8" t="s">
        <v>20</v>
      </c>
      <c r="D24" s="8" t="s">
        <v>21</v>
      </c>
      <c r="E24" s="8" t="s">
        <v>22</v>
      </c>
      <c r="F24" s="8" t="s">
        <v>23</v>
      </c>
      <c r="G24" s="8"/>
      <c r="H24" s="8" t="s">
        <v>24</v>
      </c>
      <c r="I24" s="8" t="s">
        <v>25</v>
      </c>
    </row>
    <row r="25" spans="1:9" x14ac:dyDescent="0.35">
      <c r="A25" s="8" t="s">
        <v>26</v>
      </c>
      <c r="B25" s="10">
        <v>0</v>
      </c>
      <c r="C25" s="10"/>
      <c r="D25" s="10"/>
      <c r="E25" s="10"/>
      <c r="F25" s="10"/>
      <c r="G25" s="10"/>
      <c r="H25" s="10"/>
      <c r="I25" s="10">
        <v>0</v>
      </c>
    </row>
    <row r="26" spans="1:9" x14ac:dyDescent="0.35">
      <c r="A26" s="8" t="s">
        <v>27</v>
      </c>
      <c r="B26" s="10" t="s">
        <v>28</v>
      </c>
      <c r="C26" s="10">
        <f>$B$10</f>
        <v>1</v>
      </c>
      <c r="D26" s="10">
        <f>SUMPRODUCT($B$4:$F$8,B17:F21)+I25</f>
        <v>0</v>
      </c>
      <c r="E26" s="10">
        <f>D26</f>
        <v>0</v>
      </c>
      <c r="F26" s="10">
        <f>C26-E26</f>
        <v>1</v>
      </c>
      <c r="G26" s="10"/>
      <c r="H26" s="10">
        <f>$B$13*F26</f>
        <v>0.1</v>
      </c>
      <c r="I26" s="10">
        <f>I25+H26</f>
        <v>0.1</v>
      </c>
    </row>
    <row r="27" spans="1:9" x14ac:dyDescent="0.35">
      <c r="A27" s="8"/>
      <c r="B27" s="10" t="s">
        <v>29</v>
      </c>
      <c r="C27" s="10">
        <f>$I$10</f>
        <v>-1</v>
      </c>
      <c r="D27" s="10">
        <f>SUMPRODUCT($I$4:$M$8,I35:M39)+I26</f>
        <v>-1.6000000000000003</v>
      </c>
      <c r="E27" s="10">
        <f t="shared" ref="E27:E29" si="0">D27</f>
        <v>-1.6000000000000003</v>
      </c>
      <c r="F27" s="10">
        <f>C27-E27</f>
        <v>0.60000000000000031</v>
      </c>
      <c r="G27" s="10"/>
      <c r="H27" s="10">
        <f>$B$13*F27</f>
        <v>6.0000000000000032E-2</v>
      </c>
      <c r="I27" s="10">
        <f>I26+H27</f>
        <v>0.16000000000000003</v>
      </c>
    </row>
    <row r="28" spans="1:9" x14ac:dyDescent="0.35">
      <c r="A28" s="8" t="s">
        <v>30</v>
      </c>
      <c r="B28" s="10" t="s">
        <v>28</v>
      </c>
      <c r="C28" s="10">
        <f>$B$10</f>
        <v>1</v>
      </c>
      <c r="D28" s="10">
        <f>SUMPRODUCT($B$4:$F$8,I43:M47)+I27</f>
        <v>1.6400000000000001</v>
      </c>
      <c r="E28" s="10">
        <f t="shared" si="0"/>
        <v>1.6400000000000001</v>
      </c>
      <c r="F28" s="10">
        <f t="shared" ref="F28:F29" si="1">C28-E28</f>
        <v>-0.64000000000000012</v>
      </c>
      <c r="G28" s="10"/>
      <c r="H28" s="10">
        <f>$B$13*F28</f>
        <v>-6.4000000000000015E-2</v>
      </c>
      <c r="I28" s="10">
        <f>I27+H28</f>
        <v>9.6000000000000016E-2</v>
      </c>
    </row>
    <row r="29" spans="1:9" x14ac:dyDescent="0.35">
      <c r="A29" s="8"/>
      <c r="B29" s="10" t="s">
        <v>29</v>
      </c>
      <c r="C29" s="10">
        <f>$I$10</f>
        <v>-1</v>
      </c>
      <c r="D29" s="10">
        <f>SUMPRODUCT($I$4:$M$8,I51:M55)+I28</f>
        <v>0.98400000000000065</v>
      </c>
      <c r="E29" s="10">
        <f t="shared" si="0"/>
        <v>0.98400000000000065</v>
      </c>
      <c r="F29" s="10">
        <f t="shared" si="1"/>
        <v>-1.9840000000000007</v>
      </c>
      <c r="G29" s="10"/>
      <c r="H29" s="10">
        <f>$B$13*F29</f>
        <v>-0.19840000000000008</v>
      </c>
      <c r="I29" s="10">
        <f>I28+H29</f>
        <v>-0.10240000000000006</v>
      </c>
    </row>
    <row r="33" spans="1:13" ht="14.5" customHeight="1" x14ac:dyDescent="0.35">
      <c r="A33" s="1" t="s">
        <v>31</v>
      </c>
      <c r="B33" s="15" t="s">
        <v>32</v>
      </c>
      <c r="C33" s="15"/>
      <c r="D33" s="15"/>
      <c r="E33" s="15"/>
      <c r="F33" s="15"/>
      <c r="H33" s="8"/>
      <c r="I33" s="4" t="s">
        <v>33</v>
      </c>
      <c r="J33" s="5"/>
      <c r="K33" s="5"/>
      <c r="L33" s="5"/>
      <c r="M33" s="6"/>
    </row>
    <row r="34" spans="1:13" x14ac:dyDescent="0.35">
      <c r="A34" s="10"/>
      <c r="B34" s="8" t="s">
        <v>2</v>
      </c>
      <c r="C34" s="8" t="s">
        <v>3</v>
      </c>
      <c r="D34" s="8" t="s">
        <v>4</v>
      </c>
      <c r="E34" s="8" t="s">
        <v>5</v>
      </c>
      <c r="F34" s="8" t="s">
        <v>6</v>
      </c>
      <c r="H34" s="8"/>
      <c r="I34" s="8" t="s">
        <v>2</v>
      </c>
      <c r="J34" s="8" t="s">
        <v>3</v>
      </c>
      <c r="K34" s="8" t="s">
        <v>4</v>
      </c>
      <c r="L34" s="8" t="s">
        <v>5</v>
      </c>
      <c r="M34" s="8" t="s">
        <v>6</v>
      </c>
    </row>
    <row r="35" spans="1:13" x14ac:dyDescent="0.35">
      <c r="A35" s="8" t="s">
        <v>7</v>
      </c>
      <c r="B35" s="10">
        <f>$B$13*$F$26*B4</f>
        <v>0.1</v>
      </c>
      <c r="C35" s="10">
        <f t="shared" ref="C35:F35" si="2">$B$13*$F$26*C4</f>
        <v>-0.1</v>
      </c>
      <c r="D35" s="10">
        <f t="shared" si="2"/>
        <v>-0.1</v>
      </c>
      <c r="E35" s="10">
        <f t="shared" si="2"/>
        <v>-0.1</v>
      </c>
      <c r="F35" s="10">
        <f t="shared" si="2"/>
        <v>0.1</v>
      </c>
      <c r="H35" s="10" t="s">
        <v>7</v>
      </c>
      <c r="I35" s="10">
        <f>B35+B17</f>
        <v>0.1</v>
      </c>
      <c r="J35" s="10">
        <f t="shared" ref="J35:M39" si="3">C35+C17</f>
        <v>-0.1</v>
      </c>
      <c r="K35" s="10">
        <f t="shared" si="3"/>
        <v>-0.1</v>
      </c>
      <c r="L35" s="10">
        <f t="shared" si="3"/>
        <v>-0.1</v>
      </c>
      <c r="M35" s="10">
        <f t="shared" si="3"/>
        <v>0.1</v>
      </c>
    </row>
    <row r="36" spans="1:13" x14ac:dyDescent="0.35">
      <c r="A36" s="8" t="s">
        <v>8</v>
      </c>
      <c r="B36" s="10">
        <f t="shared" ref="B36:F39" si="4">$B$13*$F$26*B5</f>
        <v>-0.1</v>
      </c>
      <c r="C36" s="10">
        <f t="shared" si="4"/>
        <v>0.1</v>
      </c>
      <c r="D36" s="10">
        <f t="shared" si="4"/>
        <v>-0.1</v>
      </c>
      <c r="E36" s="10">
        <f t="shared" si="4"/>
        <v>0.1</v>
      </c>
      <c r="F36" s="10">
        <f t="shared" si="4"/>
        <v>-0.1</v>
      </c>
      <c r="H36" s="10" t="s">
        <v>8</v>
      </c>
      <c r="I36" s="10">
        <f t="shared" ref="I36:I39" si="5">B36+B18</f>
        <v>-0.1</v>
      </c>
      <c r="J36" s="10">
        <f t="shared" si="3"/>
        <v>0.1</v>
      </c>
      <c r="K36" s="10">
        <f t="shared" si="3"/>
        <v>-0.1</v>
      </c>
      <c r="L36" s="10">
        <f t="shared" si="3"/>
        <v>0.1</v>
      </c>
      <c r="M36" s="10">
        <f t="shared" si="3"/>
        <v>-0.1</v>
      </c>
    </row>
    <row r="37" spans="1:13" x14ac:dyDescent="0.35">
      <c r="A37" s="8" t="s">
        <v>9</v>
      </c>
      <c r="B37" s="10">
        <f t="shared" si="4"/>
        <v>-0.1</v>
      </c>
      <c r="C37" s="10">
        <f t="shared" si="4"/>
        <v>-0.1</v>
      </c>
      <c r="D37" s="10">
        <f t="shared" si="4"/>
        <v>0.1</v>
      </c>
      <c r="E37" s="10">
        <f t="shared" si="4"/>
        <v>-0.1</v>
      </c>
      <c r="F37" s="10">
        <f t="shared" si="4"/>
        <v>-0.1</v>
      </c>
      <c r="H37" s="10" t="s">
        <v>9</v>
      </c>
      <c r="I37" s="10">
        <f t="shared" si="5"/>
        <v>-0.1</v>
      </c>
      <c r="J37" s="10">
        <f t="shared" si="3"/>
        <v>-0.1</v>
      </c>
      <c r="K37" s="10">
        <f t="shared" si="3"/>
        <v>0.1</v>
      </c>
      <c r="L37" s="10">
        <f t="shared" si="3"/>
        <v>-0.1</v>
      </c>
      <c r="M37" s="10">
        <f t="shared" si="3"/>
        <v>-0.1</v>
      </c>
    </row>
    <row r="38" spans="1:13" x14ac:dyDescent="0.35">
      <c r="A38" s="8" t="s">
        <v>10</v>
      </c>
      <c r="B38" s="10">
        <f t="shared" si="4"/>
        <v>-0.1</v>
      </c>
      <c r="C38" s="10">
        <f t="shared" si="4"/>
        <v>0.1</v>
      </c>
      <c r="D38" s="10">
        <f t="shared" si="4"/>
        <v>-0.1</v>
      </c>
      <c r="E38" s="10">
        <f t="shared" si="4"/>
        <v>0.1</v>
      </c>
      <c r="F38" s="10">
        <f t="shared" si="4"/>
        <v>-0.1</v>
      </c>
      <c r="H38" s="10" t="s">
        <v>10</v>
      </c>
      <c r="I38" s="10">
        <f t="shared" si="5"/>
        <v>-0.1</v>
      </c>
      <c r="J38" s="10">
        <f t="shared" si="3"/>
        <v>0.1</v>
      </c>
      <c r="K38" s="10">
        <f t="shared" si="3"/>
        <v>-0.1</v>
      </c>
      <c r="L38" s="10">
        <f t="shared" si="3"/>
        <v>0.1</v>
      </c>
      <c r="M38" s="10">
        <f t="shared" si="3"/>
        <v>-0.1</v>
      </c>
    </row>
    <row r="39" spans="1:13" x14ac:dyDescent="0.35">
      <c r="A39" s="8" t="s">
        <v>11</v>
      </c>
      <c r="B39" s="10">
        <f t="shared" si="4"/>
        <v>0.1</v>
      </c>
      <c r="C39" s="10">
        <f t="shared" si="4"/>
        <v>-0.1</v>
      </c>
      <c r="D39" s="10">
        <f t="shared" si="4"/>
        <v>-0.1</v>
      </c>
      <c r="E39" s="10">
        <f t="shared" si="4"/>
        <v>-0.1</v>
      </c>
      <c r="F39" s="10">
        <f t="shared" si="4"/>
        <v>0.1</v>
      </c>
      <c r="H39" s="10" t="s">
        <v>11</v>
      </c>
      <c r="I39" s="10">
        <f t="shared" si="5"/>
        <v>0.1</v>
      </c>
      <c r="J39" s="10">
        <f t="shared" si="3"/>
        <v>-0.1</v>
      </c>
      <c r="K39" s="10">
        <f t="shared" si="3"/>
        <v>-0.1</v>
      </c>
      <c r="L39" s="10">
        <f t="shared" si="3"/>
        <v>-0.1</v>
      </c>
      <c r="M39" s="10">
        <f t="shared" si="3"/>
        <v>0.1</v>
      </c>
    </row>
    <row r="41" spans="1:13" ht="15.5" x14ac:dyDescent="0.35">
      <c r="A41" s="1" t="s">
        <v>34</v>
      </c>
      <c r="B41" s="8"/>
      <c r="C41" s="8"/>
      <c r="D41" s="16" t="s">
        <v>32</v>
      </c>
      <c r="E41" s="8"/>
      <c r="F41" s="8"/>
      <c r="H41" s="8"/>
      <c r="I41" s="4" t="s">
        <v>33</v>
      </c>
      <c r="J41" s="5"/>
      <c r="K41" s="5"/>
      <c r="L41" s="5"/>
      <c r="M41" s="6"/>
    </row>
    <row r="42" spans="1:13" x14ac:dyDescent="0.35">
      <c r="A42" s="10"/>
      <c r="B42" s="8" t="s">
        <v>2</v>
      </c>
      <c r="C42" s="8" t="s">
        <v>3</v>
      </c>
      <c r="D42" s="8" t="s">
        <v>4</v>
      </c>
      <c r="E42" s="8" t="s">
        <v>5</v>
      </c>
      <c r="F42" s="8" t="s">
        <v>6</v>
      </c>
      <c r="H42" s="8"/>
      <c r="I42" s="8" t="s">
        <v>2</v>
      </c>
      <c r="J42" s="8" t="s">
        <v>3</v>
      </c>
      <c r="K42" s="8" t="s">
        <v>4</v>
      </c>
      <c r="L42" s="8" t="s">
        <v>5</v>
      </c>
      <c r="M42" s="8" t="s">
        <v>6</v>
      </c>
    </row>
    <row r="43" spans="1:13" x14ac:dyDescent="0.35">
      <c r="A43" s="8" t="s">
        <v>7</v>
      </c>
      <c r="B43" s="10">
        <f>$B$13*$F$27*I4</f>
        <v>-6.0000000000000032E-2</v>
      </c>
      <c r="C43" s="10">
        <f t="shared" ref="C43:F47" si="6">$B$13*$F$27*J4</f>
        <v>6.0000000000000032E-2</v>
      </c>
      <c r="D43" s="10">
        <f t="shared" si="6"/>
        <v>6.0000000000000032E-2</v>
      </c>
      <c r="E43" s="10">
        <f t="shared" si="6"/>
        <v>6.0000000000000032E-2</v>
      </c>
      <c r="F43" s="10">
        <f t="shared" si="6"/>
        <v>-6.0000000000000032E-2</v>
      </c>
      <c r="H43" s="8" t="s">
        <v>7</v>
      </c>
      <c r="I43" s="10">
        <f>I35+B43</f>
        <v>3.9999999999999973E-2</v>
      </c>
      <c r="J43" s="10">
        <f t="shared" ref="J43:M47" si="7">J35+C43</f>
        <v>-3.9999999999999973E-2</v>
      </c>
      <c r="K43" s="10">
        <f t="shared" si="7"/>
        <v>-3.9999999999999973E-2</v>
      </c>
      <c r="L43" s="10">
        <f t="shared" si="7"/>
        <v>-3.9999999999999973E-2</v>
      </c>
      <c r="M43" s="10">
        <f t="shared" si="7"/>
        <v>3.9999999999999973E-2</v>
      </c>
    </row>
    <row r="44" spans="1:13" x14ac:dyDescent="0.35">
      <c r="A44" s="8" t="s">
        <v>8</v>
      </c>
      <c r="B44" s="10">
        <f t="shared" ref="B44:B47" si="8">$B$13*$F$27*I5</f>
        <v>6.0000000000000032E-2</v>
      </c>
      <c r="C44" s="10">
        <f t="shared" si="6"/>
        <v>-6.0000000000000032E-2</v>
      </c>
      <c r="D44" s="10">
        <f t="shared" si="6"/>
        <v>-6.0000000000000032E-2</v>
      </c>
      <c r="E44" s="10">
        <f t="shared" si="6"/>
        <v>-6.0000000000000032E-2</v>
      </c>
      <c r="F44" s="10">
        <f t="shared" si="6"/>
        <v>6.0000000000000032E-2</v>
      </c>
      <c r="H44" s="8" t="s">
        <v>8</v>
      </c>
      <c r="I44" s="10">
        <f t="shared" ref="I44:I47" si="9">I36+B44</f>
        <v>-3.9999999999999973E-2</v>
      </c>
      <c r="J44" s="10">
        <f t="shared" si="7"/>
        <v>3.9999999999999973E-2</v>
      </c>
      <c r="K44" s="10">
        <f t="shared" si="7"/>
        <v>-0.16000000000000003</v>
      </c>
      <c r="L44" s="10">
        <f t="shared" si="7"/>
        <v>3.9999999999999973E-2</v>
      </c>
      <c r="M44" s="10">
        <f t="shared" si="7"/>
        <v>-3.9999999999999973E-2</v>
      </c>
    </row>
    <row r="45" spans="1:13" x14ac:dyDescent="0.35">
      <c r="A45" s="8" t="s">
        <v>9</v>
      </c>
      <c r="B45" s="10">
        <f t="shared" si="8"/>
        <v>6.0000000000000032E-2</v>
      </c>
      <c r="C45" s="10">
        <f t="shared" si="6"/>
        <v>-6.0000000000000032E-2</v>
      </c>
      <c r="D45" s="10">
        <f t="shared" si="6"/>
        <v>-6.0000000000000032E-2</v>
      </c>
      <c r="E45" s="10">
        <f t="shared" si="6"/>
        <v>-6.0000000000000032E-2</v>
      </c>
      <c r="F45" s="10">
        <f t="shared" si="6"/>
        <v>6.0000000000000032E-2</v>
      </c>
      <c r="H45" s="8" t="s">
        <v>9</v>
      </c>
      <c r="I45" s="10">
        <f t="shared" si="9"/>
        <v>-3.9999999999999973E-2</v>
      </c>
      <c r="J45" s="10">
        <f t="shared" si="7"/>
        <v>-0.16000000000000003</v>
      </c>
      <c r="K45" s="10">
        <f t="shared" si="7"/>
        <v>3.9999999999999973E-2</v>
      </c>
      <c r="L45" s="10">
        <f t="shared" si="7"/>
        <v>-0.16000000000000003</v>
      </c>
      <c r="M45" s="10">
        <f t="shared" si="7"/>
        <v>-3.9999999999999973E-2</v>
      </c>
    </row>
    <row r="46" spans="1:13" x14ac:dyDescent="0.35">
      <c r="A46" s="8" t="s">
        <v>10</v>
      </c>
      <c r="B46" s="10">
        <f t="shared" si="8"/>
        <v>6.0000000000000032E-2</v>
      </c>
      <c r="C46" s="10">
        <f t="shared" si="6"/>
        <v>-6.0000000000000032E-2</v>
      </c>
      <c r="D46" s="10">
        <f t="shared" si="6"/>
        <v>-6.0000000000000032E-2</v>
      </c>
      <c r="E46" s="10">
        <f t="shared" si="6"/>
        <v>-6.0000000000000032E-2</v>
      </c>
      <c r="F46" s="10">
        <f t="shared" si="6"/>
        <v>6.0000000000000032E-2</v>
      </c>
      <c r="H46" s="8" t="s">
        <v>10</v>
      </c>
      <c r="I46" s="10">
        <f t="shared" si="9"/>
        <v>-3.9999999999999973E-2</v>
      </c>
      <c r="J46" s="10">
        <f t="shared" si="7"/>
        <v>3.9999999999999973E-2</v>
      </c>
      <c r="K46" s="10">
        <f t="shared" si="7"/>
        <v>-0.16000000000000003</v>
      </c>
      <c r="L46" s="10">
        <f t="shared" si="7"/>
        <v>3.9999999999999973E-2</v>
      </c>
      <c r="M46" s="10">
        <f t="shared" si="7"/>
        <v>-3.9999999999999973E-2</v>
      </c>
    </row>
    <row r="47" spans="1:13" x14ac:dyDescent="0.35">
      <c r="A47" s="8" t="s">
        <v>11</v>
      </c>
      <c r="B47" s="10">
        <f t="shared" si="8"/>
        <v>-6.0000000000000032E-2</v>
      </c>
      <c r="C47" s="10">
        <f t="shared" si="6"/>
        <v>6.0000000000000032E-2</v>
      </c>
      <c r="D47" s="10">
        <f t="shared" si="6"/>
        <v>6.0000000000000032E-2</v>
      </c>
      <c r="E47" s="10">
        <f t="shared" si="6"/>
        <v>6.0000000000000032E-2</v>
      </c>
      <c r="F47" s="10">
        <f t="shared" si="6"/>
        <v>-6.0000000000000032E-2</v>
      </c>
      <c r="H47" s="8" t="s">
        <v>11</v>
      </c>
      <c r="I47" s="10">
        <f t="shared" si="9"/>
        <v>3.9999999999999973E-2</v>
      </c>
      <c r="J47" s="10">
        <f t="shared" si="7"/>
        <v>-3.9999999999999973E-2</v>
      </c>
      <c r="K47" s="10">
        <f t="shared" si="7"/>
        <v>-3.9999999999999973E-2</v>
      </c>
      <c r="L47" s="10">
        <f t="shared" si="7"/>
        <v>-3.9999999999999973E-2</v>
      </c>
      <c r="M47" s="10">
        <f t="shared" si="7"/>
        <v>3.9999999999999973E-2</v>
      </c>
    </row>
    <row r="49" spans="1:13" ht="14.5" customHeight="1" x14ac:dyDescent="0.35">
      <c r="A49" s="1" t="s">
        <v>35</v>
      </c>
      <c r="B49" s="17" t="s">
        <v>32</v>
      </c>
      <c r="C49" s="18"/>
      <c r="D49" s="18"/>
      <c r="E49" s="18"/>
      <c r="F49" s="19"/>
      <c r="H49" s="8"/>
      <c r="I49" s="20" t="s">
        <v>33</v>
      </c>
      <c r="J49" s="20"/>
      <c r="K49" s="20"/>
      <c r="L49" s="20"/>
      <c r="M49" s="20"/>
    </row>
    <row r="50" spans="1:13" x14ac:dyDescent="0.35">
      <c r="A50" s="10"/>
      <c r="B50" s="8" t="s">
        <v>2</v>
      </c>
      <c r="C50" s="8" t="s">
        <v>3</v>
      </c>
      <c r="D50" s="8" t="s">
        <v>4</v>
      </c>
      <c r="E50" s="8" t="s">
        <v>5</v>
      </c>
      <c r="F50" s="8" t="s">
        <v>6</v>
      </c>
      <c r="H50" s="8"/>
      <c r="I50" s="8" t="s">
        <v>2</v>
      </c>
      <c r="J50" s="8" t="s">
        <v>3</v>
      </c>
      <c r="K50" s="8" t="s">
        <v>4</v>
      </c>
      <c r="L50" s="8" t="s">
        <v>5</v>
      </c>
      <c r="M50" s="8" t="s">
        <v>6</v>
      </c>
    </row>
    <row r="51" spans="1:13" x14ac:dyDescent="0.35">
      <c r="A51" s="10" t="s">
        <v>7</v>
      </c>
      <c r="B51" s="10">
        <f>$B$13*$F$28*B4</f>
        <v>-6.4000000000000015E-2</v>
      </c>
      <c r="C51" s="10">
        <f t="shared" ref="C51:F51" si="10">$B$13*$F$28*C4</f>
        <v>6.4000000000000015E-2</v>
      </c>
      <c r="D51" s="10">
        <f t="shared" si="10"/>
        <v>6.4000000000000015E-2</v>
      </c>
      <c r="E51" s="10">
        <f t="shared" si="10"/>
        <v>6.4000000000000015E-2</v>
      </c>
      <c r="F51" s="10">
        <f t="shared" si="10"/>
        <v>-6.4000000000000015E-2</v>
      </c>
      <c r="H51" s="8" t="s">
        <v>7</v>
      </c>
      <c r="I51" s="10">
        <f>I43+B51</f>
        <v>-2.4000000000000042E-2</v>
      </c>
      <c r="J51" s="10">
        <f t="shared" ref="J51:M55" si="11">J43+C51</f>
        <v>2.4000000000000042E-2</v>
      </c>
      <c r="K51" s="10">
        <f t="shared" si="11"/>
        <v>2.4000000000000042E-2</v>
      </c>
      <c r="L51" s="10">
        <f t="shared" si="11"/>
        <v>2.4000000000000042E-2</v>
      </c>
      <c r="M51" s="10">
        <f t="shared" si="11"/>
        <v>-2.4000000000000042E-2</v>
      </c>
    </row>
    <row r="52" spans="1:13" x14ac:dyDescent="0.35">
      <c r="A52" s="10" t="s">
        <v>8</v>
      </c>
      <c r="B52" s="10">
        <f t="shared" ref="B52:F55" si="12">$B$13*$F$28*B5</f>
        <v>6.4000000000000015E-2</v>
      </c>
      <c r="C52" s="10">
        <f t="shared" si="12"/>
        <v>-6.4000000000000015E-2</v>
      </c>
      <c r="D52" s="10">
        <f t="shared" si="12"/>
        <v>6.4000000000000015E-2</v>
      </c>
      <c r="E52" s="10">
        <f t="shared" si="12"/>
        <v>-6.4000000000000015E-2</v>
      </c>
      <c r="F52" s="10">
        <f t="shared" si="12"/>
        <v>6.4000000000000015E-2</v>
      </c>
      <c r="H52" s="8" t="s">
        <v>8</v>
      </c>
      <c r="I52" s="10">
        <f t="shared" ref="I52:I55" si="13">I44+B52</f>
        <v>2.4000000000000042E-2</v>
      </c>
      <c r="J52" s="10">
        <f t="shared" si="11"/>
        <v>-2.4000000000000042E-2</v>
      </c>
      <c r="K52" s="10">
        <f t="shared" si="11"/>
        <v>-9.6000000000000016E-2</v>
      </c>
      <c r="L52" s="10">
        <f t="shared" si="11"/>
        <v>-2.4000000000000042E-2</v>
      </c>
      <c r="M52" s="10">
        <f t="shared" si="11"/>
        <v>2.4000000000000042E-2</v>
      </c>
    </row>
    <row r="53" spans="1:13" x14ac:dyDescent="0.35">
      <c r="A53" s="10" t="s">
        <v>9</v>
      </c>
      <c r="B53" s="10">
        <f t="shared" si="12"/>
        <v>6.4000000000000015E-2</v>
      </c>
      <c r="C53" s="10">
        <f t="shared" si="12"/>
        <v>6.4000000000000015E-2</v>
      </c>
      <c r="D53" s="10">
        <f t="shared" si="12"/>
        <v>-6.4000000000000015E-2</v>
      </c>
      <c r="E53" s="10">
        <f t="shared" si="12"/>
        <v>6.4000000000000015E-2</v>
      </c>
      <c r="F53" s="10">
        <f t="shared" si="12"/>
        <v>6.4000000000000015E-2</v>
      </c>
      <c r="H53" s="8" t="s">
        <v>9</v>
      </c>
      <c r="I53" s="10">
        <f t="shared" si="13"/>
        <v>2.4000000000000042E-2</v>
      </c>
      <c r="J53" s="10">
        <f t="shared" si="11"/>
        <v>-9.6000000000000016E-2</v>
      </c>
      <c r="K53" s="10">
        <f t="shared" si="11"/>
        <v>-2.4000000000000042E-2</v>
      </c>
      <c r="L53" s="10">
        <f t="shared" si="11"/>
        <v>-9.6000000000000016E-2</v>
      </c>
      <c r="M53" s="10">
        <f t="shared" si="11"/>
        <v>2.4000000000000042E-2</v>
      </c>
    </row>
    <row r="54" spans="1:13" x14ac:dyDescent="0.35">
      <c r="A54" s="10" t="s">
        <v>10</v>
      </c>
      <c r="B54" s="10">
        <f t="shared" si="12"/>
        <v>6.4000000000000015E-2</v>
      </c>
      <c r="C54" s="10">
        <f t="shared" si="12"/>
        <v>-6.4000000000000015E-2</v>
      </c>
      <c r="D54" s="10">
        <f t="shared" si="12"/>
        <v>6.4000000000000015E-2</v>
      </c>
      <c r="E54" s="10">
        <f>$B$13*$F$28*E7</f>
        <v>-6.4000000000000015E-2</v>
      </c>
      <c r="F54" s="10">
        <f t="shared" si="12"/>
        <v>6.4000000000000015E-2</v>
      </c>
      <c r="H54" s="8" t="s">
        <v>10</v>
      </c>
      <c r="I54" s="10">
        <f t="shared" si="13"/>
        <v>2.4000000000000042E-2</v>
      </c>
      <c r="J54" s="10">
        <f t="shared" si="11"/>
        <v>-2.4000000000000042E-2</v>
      </c>
      <c r="K54" s="10">
        <f t="shared" si="11"/>
        <v>-9.6000000000000016E-2</v>
      </c>
      <c r="L54" s="10">
        <f t="shared" si="11"/>
        <v>-2.4000000000000042E-2</v>
      </c>
      <c r="M54" s="10">
        <f t="shared" si="11"/>
        <v>2.4000000000000042E-2</v>
      </c>
    </row>
    <row r="55" spans="1:13" x14ac:dyDescent="0.35">
      <c r="A55" s="10" t="s">
        <v>11</v>
      </c>
      <c r="B55" s="10">
        <f t="shared" si="12"/>
        <v>-6.4000000000000015E-2</v>
      </c>
      <c r="C55" s="10">
        <f t="shared" si="12"/>
        <v>6.4000000000000015E-2</v>
      </c>
      <c r="D55" s="10">
        <f t="shared" si="12"/>
        <v>6.4000000000000015E-2</v>
      </c>
      <c r="E55" s="10">
        <f t="shared" si="12"/>
        <v>6.4000000000000015E-2</v>
      </c>
      <c r="F55" s="10">
        <f t="shared" si="12"/>
        <v>-6.4000000000000015E-2</v>
      </c>
      <c r="H55" s="8" t="s">
        <v>11</v>
      </c>
      <c r="I55" s="10">
        <f t="shared" si="13"/>
        <v>-2.4000000000000042E-2</v>
      </c>
      <c r="J55" s="10">
        <f t="shared" si="11"/>
        <v>2.4000000000000042E-2</v>
      </c>
      <c r="K55" s="10">
        <f t="shared" si="11"/>
        <v>2.4000000000000042E-2</v>
      </c>
      <c r="L55" s="10">
        <f t="shared" si="11"/>
        <v>2.4000000000000042E-2</v>
      </c>
      <c r="M55" s="10">
        <f t="shared" si="11"/>
        <v>-2.4000000000000042E-2</v>
      </c>
    </row>
    <row r="57" spans="1:13" ht="14.5" customHeight="1" x14ac:dyDescent="0.35">
      <c r="A57" s="1" t="s">
        <v>36</v>
      </c>
      <c r="B57" s="21" t="s">
        <v>32</v>
      </c>
      <c r="C57" s="22"/>
      <c r="D57" s="22"/>
      <c r="E57" s="22"/>
      <c r="F57" s="23"/>
      <c r="H57" s="8"/>
      <c r="I57" s="4" t="s">
        <v>33</v>
      </c>
      <c r="J57" s="5"/>
      <c r="K57" s="5"/>
      <c r="L57" s="5"/>
      <c r="M57" s="6"/>
    </row>
    <row r="58" spans="1:13" x14ac:dyDescent="0.35">
      <c r="A58" s="10"/>
      <c r="B58" s="8" t="s">
        <v>2</v>
      </c>
      <c r="C58" s="8" t="s">
        <v>3</v>
      </c>
      <c r="D58" s="8" t="s">
        <v>4</v>
      </c>
      <c r="E58" s="8" t="s">
        <v>5</v>
      </c>
      <c r="F58" s="8" t="s">
        <v>6</v>
      </c>
      <c r="H58" s="8"/>
      <c r="I58" s="8" t="s">
        <v>2</v>
      </c>
      <c r="J58" s="8" t="s">
        <v>3</v>
      </c>
      <c r="K58" s="8" t="s">
        <v>4</v>
      </c>
      <c r="L58" s="8" t="s">
        <v>5</v>
      </c>
      <c r="M58" s="8" t="s">
        <v>6</v>
      </c>
    </row>
    <row r="59" spans="1:13" x14ac:dyDescent="0.35">
      <c r="A59" s="8" t="s">
        <v>7</v>
      </c>
      <c r="B59" s="10">
        <f>$B$13*$F$29*I4</f>
        <v>0.19840000000000008</v>
      </c>
      <c r="C59" s="10">
        <f t="shared" ref="C59:F63" si="14">$B$13*$F$29*J4</f>
        <v>-0.19840000000000008</v>
      </c>
      <c r="D59" s="10">
        <f t="shared" si="14"/>
        <v>-0.19840000000000008</v>
      </c>
      <c r="E59" s="10">
        <f t="shared" si="14"/>
        <v>-0.19840000000000008</v>
      </c>
      <c r="F59" s="10">
        <f t="shared" si="14"/>
        <v>0.19840000000000008</v>
      </c>
      <c r="H59" s="8" t="s">
        <v>7</v>
      </c>
      <c r="I59" s="10">
        <f>I51+B59</f>
        <v>0.17440000000000003</v>
      </c>
      <c r="J59" s="10">
        <f t="shared" ref="J59:M63" si="15">J51+C59</f>
        <v>-0.17440000000000003</v>
      </c>
      <c r="K59" s="10">
        <f t="shared" si="15"/>
        <v>-0.17440000000000003</v>
      </c>
      <c r="L59" s="10">
        <f t="shared" si="15"/>
        <v>-0.17440000000000003</v>
      </c>
      <c r="M59" s="10">
        <f t="shared" si="15"/>
        <v>0.17440000000000003</v>
      </c>
    </row>
    <row r="60" spans="1:13" x14ac:dyDescent="0.35">
      <c r="A60" s="8" t="s">
        <v>8</v>
      </c>
      <c r="B60" s="10">
        <f t="shared" ref="B60:B63" si="16">$B$13*$F$29*I5</f>
        <v>-0.19840000000000008</v>
      </c>
      <c r="C60" s="10">
        <f t="shared" si="14"/>
        <v>0.19840000000000008</v>
      </c>
      <c r="D60" s="10">
        <f t="shared" si="14"/>
        <v>0.19840000000000008</v>
      </c>
      <c r="E60" s="10">
        <f t="shared" si="14"/>
        <v>0.19840000000000008</v>
      </c>
      <c r="F60" s="10">
        <f t="shared" si="14"/>
        <v>-0.19840000000000008</v>
      </c>
      <c r="H60" s="8" t="s">
        <v>8</v>
      </c>
      <c r="I60" s="10">
        <f t="shared" ref="I60:I63" si="17">I52+B60</f>
        <v>-0.17440000000000003</v>
      </c>
      <c r="J60" s="10">
        <f t="shared" si="15"/>
        <v>0.17440000000000003</v>
      </c>
      <c r="K60" s="10">
        <f t="shared" si="15"/>
        <v>0.10240000000000006</v>
      </c>
      <c r="L60" s="10">
        <f t="shared" si="15"/>
        <v>0.17440000000000003</v>
      </c>
      <c r="M60" s="10">
        <f t="shared" si="15"/>
        <v>-0.17440000000000003</v>
      </c>
    </row>
    <row r="61" spans="1:13" x14ac:dyDescent="0.35">
      <c r="A61" s="8" t="s">
        <v>9</v>
      </c>
      <c r="B61" s="10">
        <f t="shared" si="16"/>
        <v>-0.19840000000000008</v>
      </c>
      <c r="C61" s="10">
        <f t="shared" si="14"/>
        <v>0.19840000000000008</v>
      </c>
      <c r="D61" s="10">
        <f t="shared" si="14"/>
        <v>0.19840000000000008</v>
      </c>
      <c r="E61" s="10">
        <f t="shared" si="14"/>
        <v>0.19840000000000008</v>
      </c>
      <c r="F61" s="10">
        <f t="shared" si="14"/>
        <v>-0.19840000000000008</v>
      </c>
      <c r="H61" s="8" t="s">
        <v>9</v>
      </c>
      <c r="I61" s="10">
        <f t="shared" si="17"/>
        <v>-0.17440000000000003</v>
      </c>
      <c r="J61" s="10">
        <f t="shared" si="15"/>
        <v>0.10240000000000006</v>
      </c>
      <c r="K61" s="10">
        <f t="shared" si="15"/>
        <v>0.17440000000000003</v>
      </c>
      <c r="L61" s="10">
        <f t="shared" si="15"/>
        <v>0.10240000000000006</v>
      </c>
      <c r="M61" s="10">
        <f t="shared" si="15"/>
        <v>-0.17440000000000003</v>
      </c>
    </row>
    <row r="62" spans="1:13" x14ac:dyDescent="0.35">
      <c r="A62" s="8" t="s">
        <v>10</v>
      </c>
      <c r="B62" s="10">
        <f t="shared" si="16"/>
        <v>-0.19840000000000008</v>
      </c>
      <c r="C62" s="10">
        <f t="shared" si="14"/>
        <v>0.19840000000000008</v>
      </c>
      <c r="D62" s="10">
        <f t="shared" si="14"/>
        <v>0.19840000000000008</v>
      </c>
      <c r="E62" s="10">
        <f t="shared" si="14"/>
        <v>0.19840000000000008</v>
      </c>
      <c r="F62" s="10">
        <f t="shared" si="14"/>
        <v>-0.19840000000000008</v>
      </c>
      <c r="H62" s="8" t="s">
        <v>10</v>
      </c>
      <c r="I62" s="10">
        <f t="shared" si="17"/>
        <v>-0.17440000000000003</v>
      </c>
      <c r="J62" s="10">
        <f t="shared" si="15"/>
        <v>0.17440000000000003</v>
      </c>
      <c r="K62" s="10">
        <f t="shared" si="15"/>
        <v>0.10240000000000006</v>
      </c>
      <c r="L62" s="10">
        <f t="shared" si="15"/>
        <v>0.17440000000000003</v>
      </c>
      <c r="M62" s="10">
        <f t="shared" si="15"/>
        <v>-0.17440000000000003</v>
      </c>
    </row>
    <row r="63" spans="1:13" x14ac:dyDescent="0.35">
      <c r="A63" s="8" t="s">
        <v>11</v>
      </c>
      <c r="B63" s="10">
        <f t="shared" si="16"/>
        <v>0.19840000000000008</v>
      </c>
      <c r="C63" s="10">
        <f t="shared" si="14"/>
        <v>-0.19840000000000008</v>
      </c>
      <c r="D63" s="10">
        <f t="shared" si="14"/>
        <v>-0.19840000000000008</v>
      </c>
      <c r="E63" s="10">
        <f t="shared" si="14"/>
        <v>-0.19840000000000008</v>
      </c>
      <c r="F63" s="10">
        <f t="shared" si="14"/>
        <v>0.19840000000000008</v>
      </c>
      <c r="H63" s="8" t="s">
        <v>11</v>
      </c>
      <c r="I63" s="10">
        <f t="shared" si="17"/>
        <v>0.17440000000000003</v>
      </c>
      <c r="J63" s="10">
        <f t="shared" si="15"/>
        <v>-0.17440000000000003</v>
      </c>
      <c r="K63" s="10">
        <f t="shared" si="15"/>
        <v>-0.17440000000000003</v>
      </c>
      <c r="L63" s="10">
        <f t="shared" si="15"/>
        <v>-0.17440000000000003</v>
      </c>
      <c r="M63" s="10">
        <f t="shared" si="15"/>
        <v>0.17440000000000003</v>
      </c>
    </row>
    <row r="65" spans="1:10" x14ac:dyDescent="0.35">
      <c r="A65" s="2" t="s">
        <v>37</v>
      </c>
    </row>
    <row r="67" spans="1:10" x14ac:dyDescent="0.35">
      <c r="A67" s="1" t="s">
        <v>38</v>
      </c>
      <c r="B67" s="8" t="s">
        <v>39</v>
      </c>
      <c r="C67" s="8" t="s">
        <v>40</v>
      </c>
      <c r="F67" s="1" t="s">
        <v>41</v>
      </c>
      <c r="G67" s="8" t="s">
        <v>39</v>
      </c>
      <c r="H67" s="8" t="s">
        <v>40</v>
      </c>
      <c r="J67" s="2" t="s">
        <v>44</v>
      </c>
    </row>
    <row r="68" spans="1:10" x14ac:dyDescent="0.35">
      <c r="A68" s="8" t="s">
        <v>21</v>
      </c>
      <c r="B68" s="10">
        <f>SUMPRODUCT($B$4:$F$8,I59:M63)+I29</f>
        <v>3.1503999999999994</v>
      </c>
      <c r="C68" s="10">
        <f>SUMPRODUCT($I$4:$M$8,I59:M63)+I29</f>
        <v>-4.1744000000000003</v>
      </c>
      <c r="F68" s="8" t="s">
        <v>21</v>
      </c>
      <c r="G68" s="10">
        <f>SUMPRODUCT($B$4:$F$8,I43:M47)+I27</f>
        <v>1.6400000000000001</v>
      </c>
      <c r="H68" s="10">
        <f>SUMPRODUCT($I$4:$M$8,I43:M47)+I27</f>
        <v>-3.9999999999999314E-2</v>
      </c>
      <c r="J68" s="2">
        <v>24031030024</v>
      </c>
    </row>
    <row r="69" spans="1:10" x14ac:dyDescent="0.35">
      <c r="A69" s="8" t="s">
        <v>22</v>
      </c>
      <c r="B69" s="10">
        <f>IF(B68&gt;=B14,1,-1)</f>
        <v>1</v>
      </c>
      <c r="C69" s="10">
        <f>IF(C68&gt;=I14,1,-1)</f>
        <v>-1</v>
      </c>
      <c r="F69" s="8" t="s">
        <v>22</v>
      </c>
      <c r="G69" s="10">
        <f>IF(G68&gt;=B14,1,-1)</f>
        <v>1</v>
      </c>
      <c r="H69" s="10">
        <f>IF(H68&gt;=B14,1,-1)</f>
        <v>-1</v>
      </c>
    </row>
    <row r="70" spans="1:10" x14ac:dyDescent="0.35">
      <c r="A70" s="8" t="s">
        <v>13</v>
      </c>
      <c r="B70" s="10">
        <f>B10</f>
        <v>1</v>
      </c>
      <c r="C70" s="10">
        <f>I10</f>
        <v>-1</v>
      </c>
      <c r="F70" s="8" t="s">
        <v>13</v>
      </c>
      <c r="G70" s="10">
        <f>B10</f>
        <v>1</v>
      </c>
      <c r="H70" s="10">
        <f>I10</f>
        <v>-1</v>
      </c>
    </row>
    <row r="71" spans="1:10" x14ac:dyDescent="0.35">
      <c r="A71" s="8" t="s">
        <v>42</v>
      </c>
      <c r="B71" s="10" t="str">
        <f>IF(B69=B70, "Tercapai","tidak")</f>
        <v>Tercapai</v>
      </c>
      <c r="C71" s="10" t="str">
        <f>IF(C69=C70, "Tercapai","tidak")</f>
        <v>Tercapai</v>
      </c>
      <c r="F71" s="8" t="s">
        <v>42</v>
      </c>
      <c r="G71" s="10" t="str">
        <f>IF(G69=G70, "Tercapai","tidak")</f>
        <v>Tercapai</v>
      </c>
      <c r="H71" s="10" t="str">
        <f>IF(H69=H70, "Tercapai","tidak")</f>
        <v>Tercapai</v>
      </c>
    </row>
    <row r="73" spans="1:10" x14ac:dyDescent="0.35">
      <c r="A73" s="24" t="s">
        <v>43</v>
      </c>
      <c r="B73" s="24"/>
      <c r="C73" s="24"/>
      <c r="D73" s="24"/>
      <c r="E73" s="24"/>
      <c r="F73" s="24"/>
      <c r="G73" s="24"/>
      <c r="H73" s="24"/>
    </row>
    <row r="74" spans="1:10" x14ac:dyDescent="0.35">
      <c r="A74" s="24"/>
      <c r="B74" s="24"/>
      <c r="C74" s="24"/>
      <c r="D74" s="24"/>
      <c r="E74" s="24"/>
      <c r="F74" s="24"/>
      <c r="G74" s="24"/>
      <c r="H74" s="24"/>
    </row>
    <row r="75" spans="1:10" x14ac:dyDescent="0.35">
      <c r="A75" s="24"/>
      <c r="B75" s="24"/>
      <c r="C75" s="24"/>
      <c r="D75" s="24"/>
      <c r="E75" s="24"/>
      <c r="F75" s="24"/>
      <c r="G75" s="24"/>
      <c r="H75" s="24"/>
    </row>
    <row r="76" spans="1:10" x14ac:dyDescent="0.35">
      <c r="A76" s="24"/>
      <c r="B76" s="24"/>
      <c r="C76" s="24"/>
      <c r="D76" s="24"/>
      <c r="E76" s="24"/>
      <c r="F76" s="24"/>
      <c r="G76" s="24"/>
      <c r="H76" s="24"/>
    </row>
  </sheetData>
  <mergeCells count="12">
    <mergeCell ref="I41:M41"/>
    <mergeCell ref="I49:M49"/>
    <mergeCell ref="B57:F57"/>
    <mergeCell ref="I57:M57"/>
    <mergeCell ref="A73:H76"/>
    <mergeCell ref="A2:A3"/>
    <mergeCell ref="B2:F2"/>
    <mergeCell ref="I2:M2"/>
    <mergeCell ref="A12:B12"/>
    <mergeCell ref="B15:F15"/>
    <mergeCell ref="B33:F33"/>
    <mergeCell ref="I33:M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872BBEA2EBD94DAD5E7CEA82F1749A" ma:contentTypeVersion="6" ma:contentTypeDescription="Create a new document." ma:contentTypeScope="" ma:versionID="a6111baa146d2ca7ee405f6a3471557f">
  <xsd:schema xmlns:xsd="http://www.w3.org/2001/XMLSchema" xmlns:xs="http://www.w3.org/2001/XMLSchema" xmlns:p="http://schemas.microsoft.com/office/2006/metadata/properties" xmlns:ns3="0cdf42d8-bb2c-421d-b2ef-e7e45bf80771" targetNamespace="http://schemas.microsoft.com/office/2006/metadata/properties" ma:root="true" ma:fieldsID="ce2fd51187133f3bdd91fad1e4e630dd" ns3:_="">
    <xsd:import namespace="0cdf42d8-bb2c-421d-b2ef-e7e45bf8077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f42d8-bb2c-421d-b2ef-e7e45bf8077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df42d8-bb2c-421d-b2ef-e7e45bf80771" xsi:nil="true"/>
  </documentManagement>
</p:properties>
</file>

<file path=customXml/itemProps1.xml><?xml version="1.0" encoding="utf-8"?>
<ds:datastoreItem xmlns:ds="http://schemas.openxmlformats.org/officeDocument/2006/customXml" ds:itemID="{6C42905B-190A-4BE0-A418-BDD904B997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df42d8-bb2c-421d-b2ef-e7e45bf807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165376-8BFD-4F1D-A6E6-72191CCCBC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F8D5BE-654B-4C24-AACF-06E06C77B4D7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0cdf42d8-bb2c-421d-b2ef-e7e45bf80771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ANDARA SALBRIYA UTAMI</dc:creator>
  <cp:lastModifiedBy>ANDARA SALBRIYA UTAMI</cp:lastModifiedBy>
  <dcterms:created xsi:type="dcterms:W3CDTF">2026-10-15T10:10:12Z</dcterms:created>
  <dcterms:modified xsi:type="dcterms:W3CDTF">2026-10-15T10:52:03Z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0x010100A0872BBEA2EBD94DAD5E7CEA82F1749A</vt:lpwstr>
  </property>
</Properties>
</file>